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G-2026\Desktop\Patinhas Felizes\"/>
    </mc:Choice>
  </mc:AlternateContent>
  <xr:revisionPtr revIDLastSave="0" documentId="13_ncr:1_{096BD463-835C-4629-801C-310F3C767081}" xr6:coauthVersionLast="47" xr6:coauthVersionMax="47" xr10:uidLastSave="{00000000-0000-0000-0000-000000000000}"/>
  <bookViews>
    <workbookView xWindow="-108" yWindow="-108" windowWidth="23256" windowHeight="12456" xr2:uid="{08C7B1D9-FAF1-4333-ABBB-F5A2186B84F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1" l="1"/>
  <c r="B20" i="1"/>
</calcChain>
</file>

<file path=xl/sharedStrings.xml><?xml version="1.0" encoding="utf-8"?>
<sst xmlns="http://schemas.openxmlformats.org/spreadsheetml/2006/main" count="24" uniqueCount="24">
  <si>
    <t>ATIVIDADES</t>
  </si>
  <si>
    <t>INÍCIO</t>
  </si>
  <si>
    <t>TOTAL DE DIAS</t>
  </si>
  <si>
    <t>FINAL</t>
  </si>
  <si>
    <t>Escopo</t>
  </si>
  <si>
    <t xml:space="preserve">Requisitos funcionais e não funcionais </t>
  </si>
  <si>
    <t>Cronograma</t>
  </si>
  <si>
    <t>Introdução da documentação</t>
  </si>
  <si>
    <t>Wireframe de alta fidelidade</t>
  </si>
  <si>
    <t xml:space="preserve">Front-end </t>
  </si>
  <si>
    <t>Metodologia da documentação</t>
  </si>
  <si>
    <t>Estruturação/normalização banco de dados</t>
  </si>
  <si>
    <t>Desenvolvimento da metodologia</t>
  </si>
  <si>
    <t>Projeto final</t>
  </si>
  <si>
    <t>Documentação final</t>
  </si>
  <si>
    <t>CRONOGRAMA</t>
  </si>
  <si>
    <t>Dividir páginas(Home, Serviços, Galeria e Contato)</t>
  </si>
  <si>
    <t>CONCLUSÃO%</t>
  </si>
  <si>
    <t>META%</t>
  </si>
  <si>
    <t>Criação do nome do website</t>
  </si>
  <si>
    <t>Escolher o setor para o qual criaremos o website</t>
  </si>
  <si>
    <t>Definição do objetivo do website</t>
  </si>
  <si>
    <t>Mínimo:</t>
  </si>
  <si>
    <t xml:space="preserve">Máximo: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</si>
</sst>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2" fontId="0" fillId="0" borderId="0" xfId="0" applyNumberForma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Cronograma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40533232259011104"/>
          <c:y val="0.16786448584598943"/>
          <c:w val="0.52830129929410996"/>
          <c:h val="0.7987018799179691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Planilha1!$B$2</c:f>
              <c:strCache>
                <c:ptCount val="1"/>
                <c:pt idx="0">
                  <c:v>INÍCIO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f>Planilha1!$A$3:$A$17</c:f>
              <c:strCache>
                <c:ptCount val="15"/>
                <c:pt idx="0">
                  <c:v>Escolher o setor para o qual criaremos o website</c:v>
                </c:pt>
                <c:pt idx="1">
                  <c:v>Criação do nome do website</c:v>
                </c:pt>
                <c:pt idx="2">
                  <c:v>Definição do objetivo do website</c:v>
                </c:pt>
                <c:pt idx="3">
                  <c:v>Dividir páginas(Home, Serviços, Galeria e Contato)</c:v>
                </c:pt>
                <c:pt idx="4">
                  <c:v>Escopo</c:v>
                </c:pt>
                <c:pt idx="5">
                  <c:v>Requisitos funcionais e não funcionais </c:v>
                </c:pt>
                <c:pt idx="6">
                  <c:v>Cronograma</c:v>
                </c:pt>
                <c:pt idx="7">
                  <c:v>Introdução da documentação</c:v>
                </c:pt>
                <c:pt idx="8">
                  <c:v>Wireframe de alta fidelidade</c:v>
                </c:pt>
                <c:pt idx="9">
                  <c:v>Front-end </c:v>
                </c:pt>
                <c:pt idx="10">
                  <c:v>Metodologia da documentação</c:v>
                </c:pt>
                <c:pt idx="11">
                  <c:v>Estruturação/normalização banco de dados</c:v>
                </c:pt>
                <c:pt idx="12">
                  <c:v>Desenvolvimento da metodologia</c:v>
                </c:pt>
                <c:pt idx="13">
                  <c:v>Projeto final</c:v>
                </c:pt>
                <c:pt idx="14">
                  <c:v>Documentação final</c:v>
                </c:pt>
              </c:strCache>
            </c:strRef>
          </c:cat>
          <c:val>
            <c:numRef>
              <c:f>Planilha1!$B$3:$B$17</c:f>
              <c:numCache>
                <c:formatCode>m/d/yyyy</c:formatCode>
                <c:ptCount val="15"/>
                <c:pt idx="0">
                  <c:v>46239</c:v>
                </c:pt>
                <c:pt idx="1">
                  <c:v>46239</c:v>
                </c:pt>
                <c:pt idx="2">
                  <c:v>46239</c:v>
                </c:pt>
                <c:pt idx="3">
                  <c:v>46239</c:v>
                </c:pt>
                <c:pt idx="4">
                  <c:v>46244</c:v>
                </c:pt>
                <c:pt idx="5">
                  <c:v>46239</c:v>
                </c:pt>
                <c:pt idx="6">
                  <c:v>46239</c:v>
                </c:pt>
                <c:pt idx="7">
                  <c:v>46244</c:v>
                </c:pt>
                <c:pt idx="8">
                  <c:v>46251</c:v>
                </c:pt>
                <c:pt idx="9">
                  <c:v>46251</c:v>
                </c:pt>
                <c:pt idx="10">
                  <c:v>46251</c:v>
                </c:pt>
                <c:pt idx="11">
                  <c:v>46286</c:v>
                </c:pt>
                <c:pt idx="12">
                  <c:v>46286</c:v>
                </c:pt>
                <c:pt idx="13">
                  <c:v>46323</c:v>
                </c:pt>
                <c:pt idx="14">
                  <c:v>46323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0-407E-A100-B4A3D3F57DB1}"/>
            </c:ext>
          </c:extLst>
        </c:ser>
        <c:ser>
          <c:idx val="1"/>
          <c:order val="1"/>
          <c:tx>
            <c:strRef>
              <c:f>Planilha1!$C$2</c:f>
              <c:strCache>
                <c:ptCount val="1"/>
                <c:pt idx="0">
                  <c:v>TOTAL DE DIAS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Planilha1!$A$3:$A$17</c:f>
              <c:strCache>
                <c:ptCount val="15"/>
                <c:pt idx="0">
                  <c:v>Escolher o setor para o qual criaremos o website</c:v>
                </c:pt>
                <c:pt idx="1">
                  <c:v>Criação do nome do website</c:v>
                </c:pt>
                <c:pt idx="2">
                  <c:v>Definição do objetivo do website</c:v>
                </c:pt>
                <c:pt idx="3">
                  <c:v>Dividir páginas(Home, Serviços, Galeria e Contato)</c:v>
                </c:pt>
                <c:pt idx="4">
                  <c:v>Escopo</c:v>
                </c:pt>
                <c:pt idx="5">
                  <c:v>Requisitos funcionais e não funcionais </c:v>
                </c:pt>
                <c:pt idx="6">
                  <c:v>Cronograma</c:v>
                </c:pt>
                <c:pt idx="7">
                  <c:v>Introdução da documentação</c:v>
                </c:pt>
                <c:pt idx="8">
                  <c:v>Wireframe de alta fidelidade</c:v>
                </c:pt>
                <c:pt idx="9">
                  <c:v>Front-end </c:v>
                </c:pt>
                <c:pt idx="10">
                  <c:v>Metodologia da documentação</c:v>
                </c:pt>
                <c:pt idx="11">
                  <c:v>Estruturação/normalização banco de dados</c:v>
                </c:pt>
                <c:pt idx="12">
                  <c:v>Desenvolvimento da metodologia</c:v>
                </c:pt>
                <c:pt idx="13">
                  <c:v>Projeto final</c:v>
                </c:pt>
                <c:pt idx="14">
                  <c:v>Documentação final</c:v>
                </c:pt>
              </c:strCache>
            </c:strRef>
          </c:cat>
          <c:val>
            <c:numRef>
              <c:f>Planilha1!$C$3:$C$17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35</c:v>
                </c:pt>
                <c:pt idx="12">
                  <c:v>35</c:v>
                </c:pt>
                <c:pt idx="13">
                  <c:v>36</c:v>
                </c:pt>
                <c:pt idx="1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0-407E-A100-B4A3D3F57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6732608"/>
        <c:axId val="936731168"/>
      </c:barChart>
      <c:catAx>
        <c:axId val="9367326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6731168"/>
        <c:crosses val="autoZero"/>
        <c:auto val="1"/>
        <c:lblAlgn val="ctr"/>
        <c:lblOffset val="100"/>
        <c:noMultiLvlLbl val="0"/>
      </c:catAx>
      <c:valAx>
        <c:axId val="936731168"/>
        <c:scaling>
          <c:orientation val="minMax"/>
          <c:max val="46358"/>
          <c:min val="4623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673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3</xdr:row>
      <xdr:rowOff>3810</xdr:rowOff>
    </xdr:from>
    <xdr:to>
      <xdr:col>17</xdr:col>
      <xdr:colOff>91440</xdr:colOff>
      <xdr:row>23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DC741D-4AA0-3F42-F575-08CABD86C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14DF-C21D-4A8B-8694-9ACBEE2BE205}">
  <dimension ref="A1:F21"/>
  <sheetViews>
    <sheetView tabSelected="1" zoomScaleNormal="100" workbookViewId="0">
      <selection activeCell="D21" sqref="D21"/>
    </sheetView>
  </sheetViews>
  <sheetFormatPr defaultRowHeight="14.4" x14ac:dyDescent="0.3"/>
  <cols>
    <col min="1" max="1" width="45.5546875" customWidth="1"/>
    <col min="2" max="2" width="10.33203125" bestFit="1" customWidth="1"/>
    <col min="3" max="3" width="12.88671875" customWidth="1"/>
    <col min="4" max="4" width="11" customWidth="1"/>
    <col min="5" max="5" width="13" customWidth="1"/>
  </cols>
  <sheetData>
    <row r="1" spans="1:6" x14ac:dyDescent="0.3">
      <c r="A1" s="11" t="s">
        <v>15</v>
      </c>
      <c r="B1" s="11"/>
      <c r="C1" s="11"/>
      <c r="D1" s="11"/>
      <c r="E1" s="11"/>
      <c r="F1" s="11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17</v>
      </c>
      <c r="F2" s="1" t="s">
        <v>18</v>
      </c>
    </row>
    <row r="3" spans="1:6" x14ac:dyDescent="0.3">
      <c r="A3" s="2" t="s">
        <v>20</v>
      </c>
      <c r="B3" s="3">
        <v>46239</v>
      </c>
      <c r="C3" s="4">
        <v>1</v>
      </c>
      <c r="D3" s="3">
        <v>46239</v>
      </c>
      <c r="E3" s="5">
        <v>1</v>
      </c>
      <c r="F3" s="5">
        <v>1</v>
      </c>
    </row>
    <row r="4" spans="1:6" x14ac:dyDescent="0.3">
      <c r="A4" s="2" t="s">
        <v>19</v>
      </c>
      <c r="B4" s="3">
        <v>46239</v>
      </c>
      <c r="C4" s="4">
        <v>1</v>
      </c>
      <c r="D4" s="3">
        <v>46239</v>
      </c>
      <c r="E4" s="5">
        <v>1</v>
      </c>
      <c r="F4" s="5">
        <v>1</v>
      </c>
    </row>
    <row r="5" spans="1:6" x14ac:dyDescent="0.3">
      <c r="A5" s="2" t="s">
        <v>21</v>
      </c>
      <c r="B5" s="3">
        <v>46239</v>
      </c>
      <c r="C5" s="4">
        <v>1</v>
      </c>
      <c r="D5" s="3">
        <v>46239</v>
      </c>
      <c r="E5" s="5">
        <v>1</v>
      </c>
      <c r="F5" s="5">
        <v>1</v>
      </c>
    </row>
    <row r="6" spans="1:6" x14ac:dyDescent="0.3">
      <c r="A6" s="2" t="s">
        <v>16</v>
      </c>
      <c r="B6" s="3">
        <v>46239</v>
      </c>
      <c r="C6" s="4">
        <v>1</v>
      </c>
      <c r="D6" s="3">
        <v>46239</v>
      </c>
      <c r="E6" s="5">
        <v>1</v>
      </c>
      <c r="F6" s="5">
        <v>1</v>
      </c>
    </row>
    <row r="7" spans="1:6" x14ac:dyDescent="0.3">
      <c r="A7" s="6" t="s">
        <v>4</v>
      </c>
      <c r="B7" s="7">
        <v>46244</v>
      </c>
      <c r="C7" s="4">
        <v>2</v>
      </c>
      <c r="D7" s="7">
        <v>46246</v>
      </c>
      <c r="E7" s="5">
        <v>0</v>
      </c>
      <c r="F7" s="5">
        <v>1</v>
      </c>
    </row>
    <row r="8" spans="1:6" x14ac:dyDescent="0.3">
      <c r="A8" s="6" t="s">
        <v>5</v>
      </c>
      <c r="B8" s="7">
        <v>46239</v>
      </c>
      <c r="C8" s="4">
        <v>1</v>
      </c>
      <c r="D8" s="7">
        <v>46239</v>
      </c>
      <c r="E8" s="5">
        <v>1</v>
      </c>
      <c r="F8" s="5">
        <v>1</v>
      </c>
    </row>
    <row r="9" spans="1:6" x14ac:dyDescent="0.3">
      <c r="A9" s="6" t="s">
        <v>6</v>
      </c>
      <c r="B9" s="7">
        <v>46239</v>
      </c>
      <c r="C9" s="4">
        <v>1</v>
      </c>
      <c r="D9" s="7">
        <v>46239</v>
      </c>
      <c r="E9" s="5">
        <v>1</v>
      </c>
      <c r="F9" s="5">
        <v>1</v>
      </c>
    </row>
    <row r="10" spans="1:6" x14ac:dyDescent="0.3">
      <c r="A10" s="6" t="s">
        <v>7</v>
      </c>
      <c r="B10" s="7">
        <v>46244</v>
      </c>
      <c r="C10" s="4">
        <v>2</v>
      </c>
      <c r="D10" s="7">
        <v>46246</v>
      </c>
      <c r="E10" s="5">
        <v>0</v>
      </c>
      <c r="F10" s="5">
        <v>1</v>
      </c>
    </row>
    <row r="11" spans="1:6" x14ac:dyDescent="0.3">
      <c r="A11" s="6" t="s">
        <v>8</v>
      </c>
      <c r="B11" s="7">
        <v>46251</v>
      </c>
      <c r="C11" s="4">
        <v>29</v>
      </c>
      <c r="D11" s="7">
        <v>46281</v>
      </c>
      <c r="E11" s="5">
        <v>0</v>
      </c>
      <c r="F11" s="5">
        <v>1</v>
      </c>
    </row>
    <row r="12" spans="1:6" x14ac:dyDescent="0.3">
      <c r="A12" s="6" t="s">
        <v>9</v>
      </c>
      <c r="B12" s="7">
        <v>46251</v>
      </c>
      <c r="C12" s="4">
        <v>29</v>
      </c>
      <c r="D12" s="7">
        <v>46351</v>
      </c>
      <c r="E12" s="5">
        <v>0</v>
      </c>
      <c r="F12" s="5">
        <v>1</v>
      </c>
    </row>
    <row r="13" spans="1:6" x14ac:dyDescent="0.3">
      <c r="A13" s="6" t="s">
        <v>10</v>
      </c>
      <c r="B13" s="7">
        <v>46251</v>
      </c>
      <c r="C13" s="4">
        <v>29</v>
      </c>
      <c r="D13" s="7">
        <v>46281</v>
      </c>
      <c r="E13" s="5">
        <v>0</v>
      </c>
      <c r="F13" s="5">
        <v>1</v>
      </c>
    </row>
    <row r="14" spans="1:6" x14ac:dyDescent="0.3">
      <c r="A14" s="6" t="s">
        <v>11</v>
      </c>
      <c r="B14" s="7">
        <v>46286</v>
      </c>
      <c r="C14" s="4">
        <v>35</v>
      </c>
      <c r="D14" s="7">
        <v>46321</v>
      </c>
      <c r="E14" s="5">
        <v>0</v>
      </c>
      <c r="F14" s="5">
        <v>1</v>
      </c>
    </row>
    <row r="15" spans="1:6" x14ac:dyDescent="0.3">
      <c r="A15" s="6" t="s">
        <v>12</v>
      </c>
      <c r="B15" s="7">
        <v>46286</v>
      </c>
      <c r="C15" s="4">
        <v>35</v>
      </c>
      <c r="D15" s="7">
        <v>46321</v>
      </c>
      <c r="E15" s="5">
        <v>0</v>
      </c>
      <c r="F15" s="5">
        <v>1</v>
      </c>
    </row>
    <row r="16" spans="1:6" x14ac:dyDescent="0.3">
      <c r="A16" s="6" t="s">
        <v>13</v>
      </c>
      <c r="B16" s="7">
        <v>46323</v>
      </c>
      <c r="C16" s="4">
        <v>36</v>
      </c>
      <c r="D16" s="7">
        <v>46358</v>
      </c>
      <c r="E16" s="5">
        <v>0</v>
      </c>
      <c r="F16" s="5">
        <v>1</v>
      </c>
    </row>
    <row r="17" spans="1:6" x14ac:dyDescent="0.3">
      <c r="A17" s="6" t="s">
        <v>14</v>
      </c>
      <c r="B17" s="7">
        <v>46323</v>
      </c>
      <c r="C17" s="4">
        <v>36</v>
      </c>
      <c r="D17" s="7">
        <v>46358</v>
      </c>
      <c r="E17" s="5">
        <v>0</v>
      </c>
      <c r="F17" s="5">
        <v>1</v>
      </c>
    </row>
    <row r="20" spans="1:6" x14ac:dyDescent="0.3">
      <c r="A20" s="9" t="s">
        <v>22</v>
      </c>
      <c r="B20" s="10">
        <f>MIN(D3:D17)</f>
        <v>46239</v>
      </c>
    </row>
    <row r="21" spans="1:6" x14ac:dyDescent="0.3">
      <c r="A21" s="8" t="s">
        <v>23</v>
      </c>
      <c r="B21" s="10">
        <f>MAX(D3:D17)</f>
        <v>46358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DTG-2026</dc:creator>
  <cp:lastModifiedBy>JÚLIA OLIVEIRA DOS SANTOS ROLDÃO SORIANI</cp:lastModifiedBy>
  <dcterms:created xsi:type="dcterms:W3CDTF">2026-08-05T17:46:53Z</dcterms:created>
  <dcterms:modified xsi:type="dcterms:W3CDTF">2026-08-10T18:06:03Z</dcterms:modified>
</cp:coreProperties>
</file>